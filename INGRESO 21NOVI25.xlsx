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F8AB93C5-001A-4AE9-AFD0-4179003BC2E9}" xr6:coauthVersionLast="47" xr6:coauthVersionMax="47" xr10:uidLastSave="{00000000-0000-0000-0000-000000000000}"/>
  <bookViews>
    <workbookView xWindow="-120" yWindow="-120" windowWidth="29040" windowHeight="15720" xr2:uid="{0704642D-1E5C-44CE-BE31-376E1BD06C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2" i="1" l="1"/>
  <c r="J91" i="1"/>
  <c r="J90" i="1"/>
  <c r="J89" i="1"/>
  <c r="J88" i="1"/>
  <c r="J87" i="1"/>
  <c r="J85" i="1"/>
  <c r="J86" i="1"/>
  <c r="J84" i="1"/>
  <c r="J80" i="1"/>
  <c r="J81" i="1"/>
  <c r="J82" i="1"/>
  <c r="J83" i="1"/>
  <c r="J77" i="1"/>
  <c r="J78" i="1"/>
  <c r="J76" i="1"/>
  <c r="J79" i="1"/>
  <c r="J75" i="1"/>
  <c r="J74" i="1"/>
  <c r="J64" i="1"/>
  <c r="J65" i="1"/>
  <c r="J66" i="1"/>
  <c r="J67" i="1"/>
  <c r="J68" i="1"/>
  <c r="J69" i="1"/>
  <c r="J70" i="1"/>
  <c r="J71" i="1"/>
  <c r="J72" i="1"/>
  <c r="J73" i="1"/>
  <c r="J61" i="1"/>
  <c r="J62" i="1"/>
  <c r="J63" i="1"/>
  <c r="J55" i="1"/>
  <c r="J56" i="1"/>
  <c r="J57" i="1"/>
  <c r="J58" i="1"/>
  <c r="J59" i="1"/>
  <c r="J60" i="1"/>
  <c r="J53" i="1"/>
  <c r="J54" i="1"/>
  <c r="J52" i="1"/>
  <c r="J51" i="1"/>
  <c r="J48" i="1"/>
  <c r="J49" i="1"/>
  <c r="J50" i="1"/>
  <c r="J47" i="1"/>
  <c r="J41" i="1"/>
  <c r="J42" i="1"/>
  <c r="J43" i="1"/>
  <c r="J44" i="1"/>
  <c r="J45" i="1"/>
  <c r="J46" i="1"/>
  <c r="J39" i="1"/>
  <c r="J35" i="1"/>
  <c r="J36" i="1"/>
  <c r="J37" i="1"/>
  <c r="J38" i="1"/>
  <c r="J40" i="1"/>
  <c r="J34" i="1"/>
  <c r="J31" i="1"/>
  <c r="J32" i="1"/>
  <c r="J33" i="1"/>
  <c r="J30" i="1"/>
  <c r="J28" i="1"/>
  <c r="J29" i="1"/>
  <c r="J27" i="1"/>
  <c r="J24" i="1"/>
  <c r="J25" i="1"/>
  <c r="J26" i="1"/>
  <c r="J23" i="1"/>
  <c r="J22" i="1"/>
  <c r="J21" i="1"/>
  <c r="J12" i="1"/>
  <c r="J13" i="1"/>
  <c r="J14" i="1"/>
  <c r="J15" i="1"/>
  <c r="J16" i="1"/>
  <c r="J17" i="1"/>
  <c r="J18" i="1"/>
  <c r="J19" i="1"/>
  <c r="J20" i="1"/>
  <c r="J11" i="1"/>
  <c r="J6" i="1"/>
  <c r="J7" i="1"/>
  <c r="J8" i="1"/>
  <c r="J9" i="1"/>
  <c r="J10" i="1"/>
  <c r="J4" i="1"/>
  <c r="J5" i="1"/>
  <c r="J3" i="1"/>
  <c r="J2" i="1"/>
</calcChain>
</file>

<file path=xl/sharedStrings.xml><?xml version="1.0" encoding="utf-8"?>
<sst xmlns="http://schemas.openxmlformats.org/spreadsheetml/2006/main" count="469" uniqueCount="161">
  <si>
    <t>codigo</t>
  </si>
  <si>
    <t>nombre</t>
  </si>
  <si>
    <t>modelo</t>
  </si>
  <si>
    <t>color</t>
  </si>
  <si>
    <t>quilataje</t>
  </si>
  <si>
    <t>talla</t>
  </si>
  <si>
    <t>peso_gramos</t>
  </si>
  <si>
    <t>descuento_porcentaje</t>
  </si>
  <si>
    <t>precio_manual</t>
  </si>
  <si>
    <t>costo</t>
  </si>
  <si>
    <t>stock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</si>
  <si>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</si>
  <si>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</si>
  <si>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</si>
  <si>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</si>
  <si>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</si>
  <si>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</si>
  <si>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</si>
  <si>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</si>
  <si>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</si>
  <si>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</si>
  <si>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</si>
  <si>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</si>
  <si>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</si>
  <si>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</si>
  <si>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</si>
  <si>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</si>
  <si>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</si>
  <si>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</si>
  <si>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</si>
  <si>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10K</t>
  </si>
  <si>
    <t>CADENA</t>
  </si>
  <si>
    <t>SINGAPUR</t>
  </si>
  <si>
    <t>GUCCI</t>
  </si>
  <si>
    <t>AMARILLO</t>
  </si>
  <si>
    <t>LUNGA</t>
  </si>
  <si>
    <t>10K_NOR</t>
  </si>
  <si>
    <t>10K_CO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</si>
  <si>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</si>
  <si>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</si>
  <si>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</si>
  <si>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</si>
  <si>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</si>
  <si>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</si>
  <si>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</si>
  <si>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</si>
  <si>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</si>
  <si>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</si>
  <si>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</si>
  <si>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</si>
  <si>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</si>
  <si>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</si>
  <si>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Y223</t>
  </si>
  <si>
    <t>Y224</t>
  </si>
  <si>
    <t>Y225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</si>
  <si>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</si>
  <si>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</si>
  <si>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</si>
  <si>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</si>
  <si>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</si>
  <si>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</si>
  <si>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</si>
  <si>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</si>
  <si>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</si>
  <si>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</si>
  <si>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</si>
  <si>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</si>
  <si>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</si>
  <si>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</si>
  <si>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</si>
  <si>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</si>
  <si>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</si>
  <si>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</si>
  <si>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</si>
  <si>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</si>
  <si>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</si>
  <si>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</si>
  <si>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</si>
  <si>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</si>
  <si>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</si>
  <si>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</si>
  <si>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</si>
  <si>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</si>
  <si>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</si>
  <si>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</si>
  <si>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</si>
  <si>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</si>
  <si>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</si>
  <si>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Y260</t>
  </si>
  <si>
    <t>Y261</t>
  </si>
  <si>
    <t>Y262</t>
  </si>
  <si>
    <t>Y263</t>
  </si>
  <si>
    <t>Y264</t>
  </si>
  <si>
    <t>Y265</t>
  </si>
  <si>
    <t>Y266</t>
  </si>
  <si>
    <t>Y267</t>
  </si>
  <si>
    <t>Y268</t>
  </si>
  <si>
    <t>Y269</t>
  </si>
  <si>
    <t>CUADROS</t>
  </si>
  <si>
    <t>ANCLA</t>
  </si>
  <si>
    <t>ARRACADA</t>
  </si>
  <si>
    <t>LISA</t>
  </si>
  <si>
    <t>10K_M00</t>
  </si>
  <si>
    <t>GUCCI FLOR</t>
  </si>
  <si>
    <t>FLORENTINO</t>
  </si>
  <si>
    <t>10K_BOL</t>
  </si>
  <si>
    <t>MEDALLA</t>
  </si>
  <si>
    <t>10K_AO</t>
  </si>
  <si>
    <t>VIRGEN GPE</t>
  </si>
  <si>
    <t>10K_RO</t>
  </si>
  <si>
    <t>10K_C/P</t>
  </si>
  <si>
    <t>CRUZ</t>
  </si>
  <si>
    <t>DIJE</t>
  </si>
  <si>
    <t>GRANO DE CAFÉ</t>
  </si>
  <si>
    <t>10K_MEO</t>
  </si>
  <si>
    <t>ESCLAVA</t>
  </si>
  <si>
    <t>CRUZ CON PIEDRA</t>
  </si>
  <si>
    <t>VIRGEN GPE GOTA</t>
  </si>
  <si>
    <t>VIRGEN GPE CORAZON</t>
  </si>
  <si>
    <t>VIRGEN GPE OVALADA</t>
  </si>
  <si>
    <t>VIRGEN GPE REDONDA</t>
  </si>
  <si>
    <t>CON DISEÑO</t>
  </si>
  <si>
    <t>CON PIEDRA</t>
  </si>
  <si>
    <t xml:space="preserve">CON PIEDRA </t>
  </si>
  <si>
    <t xml:space="preserve">ANILLO </t>
  </si>
  <si>
    <t>DAMA</t>
  </si>
  <si>
    <t>DAMA SOLITARIO</t>
  </si>
  <si>
    <t>XV AÑOS</t>
  </si>
  <si>
    <t>3 AÑOS</t>
  </si>
  <si>
    <t>CARTIER</t>
  </si>
  <si>
    <t>ARGOLLA</t>
  </si>
  <si>
    <t>DAALI</t>
  </si>
  <si>
    <t>Y270</t>
  </si>
  <si>
    <t>Y271</t>
  </si>
  <si>
    <t>Y272</t>
  </si>
  <si>
    <t>Y273</t>
  </si>
  <si>
    <t>Y274</t>
  </si>
  <si>
    <t>Y275</t>
  </si>
  <si>
    <t>Y276</t>
  </si>
  <si>
    <t>Y277</t>
  </si>
  <si>
    <t>10K_EO</t>
  </si>
  <si>
    <t>CHURUMBELA</t>
  </si>
  <si>
    <t>BLANCO</t>
  </si>
  <si>
    <t>ROSA</t>
  </si>
  <si>
    <t>10K_GO</t>
  </si>
  <si>
    <t>PULSO</t>
  </si>
  <si>
    <t>TORSAL</t>
  </si>
  <si>
    <t>Y278</t>
  </si>
  <si>
    <t>Y279</t>
  </si>
  <si>
    <t>Y280</t>
  </si>
  <si>
    <t>Y281</t>
  </si>
  <si>
    <t>Y282</t>
  </si>
  <si>
    <t>Y283</t>
  </si>
  <si>
    <t>Y284</t>
  </si>
  <si>
    <t>GARGANTILLA</t>
  </si>
  <si>
    <t>CRUZ CON BOLITAS</t>
  </si>
  <si>
    <t>10K_MAO</t>
  </si>
  <si>
    <t xml:space="preserve">CORAZON SOLIDO </t>
  </si>
  <si>
    <t>CORAZON CON BOLITAS</t>
  </si>
  <si>
    <t>10K_UUO</t>
  </si>
  <si>
    <t>VIRGEN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</si>
</sst>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1"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ACCEAF-9B39-40AC-A324-7B89CE0A9557}" name="Tabla1" displayName="Tabla1" ref="A1:K95" totalsRowShown="0" headerRowDxfId="0">
  <autoFilter ref="A1:K95" xr:uid="{E5ACCEAF-9B39-40AC-A324-7B89CE0A9557}"/>
  <sortState xmlns:xlrd2="http://schemas.microsoft.com/office/spreadsheetml/2017/richdata2" ref="A2:K20">
    <sortCondition ref="A1:A20"/>
  </sortState>
  <tableColumns count="11">
    <tableColumn id="1" xr3:uid="{334DBE0C-9BA3-4D85-B60D-C7E9335F3787}" name="codigo"/>
    <tableColumn id="2" xr3:uid="{73F2D60E-8F6B-406F-855B-A67E24FEA2CC}" name="nombre"/>
    <tableColumn id="3" xr3:uid="{793F3192-C013-42B3-B4CB-5B04F35C021D}" name="modelo"/>
    <tableColumn id="4" xr3:uid="{0D851238-6166-42C2-98E7-30457C5FC14E}" name="color"/>
    <tableColumn id="5" xr3:uid="{848F84B1-6110-4A0B-B4B0-198BB5780C79}" name="quilataje"/>
    <tableColumn id="6" xr3:uid="{230D3BD6-EDC5-4E02-8BE7-A54C9D4D5227}" name="talla"/>
    <tableColumn id="7" xr3:uid="{DCA0708F-B067-4250-8A97-8B499B4B8C78}" name="peso_gramos"/>
    <tableColumn id="8" xr3:uid="{48961B8D-0431-4470-862E-74AF607EC04A}" name="descuento_porcentaje"/>
    <tableColumn id="9" xr3:uid="{242631DC-3BAE-421F-9C55-4049CB8AC082}" name="precio_manual"/>
    <tableColumn id="10" xr3:uid="{172044C5-C49C-439C-8DB7-E4EC7D98F316}" name="costo"/>
    <tableColumn id="11" xr3:uid="{2FF3EC9A-CF10-4DE8-AAAE-978FA9B3676C}" name="stoc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DEB7-E499-4B7E-86C7-CA8204D25B9D}">
  <dimension ref="A1:K95"/>
  <sheetViews>
    <sheetView tabSelected="1" topLeftCell="A71" zoomScale="160" zoomScaleNormal="160" workbookViewId="0">
      <selection activeCell="K93" sqref="K93"/>
    </sheetView>
  </sheetViews>
  <sheetFormatPr baseColWidth="10" defaultRowHeight="15" x14ac:dyDescent="0.25"/>
  <cols>
    <col min="3" max="3" width="21.5703125" customWidth="1"/>
    <col min="7" max="7" width="14.85546875" customWidth="1"/>
    <col min="8" max="8" width="23" customWidth="1"/>
    <col min="9" max="9" width="16.28515625" customWidth="1"/>
  </cols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31</v>
      </c>
      <c r="C2" t="s">
        <v>32</v>
      </c>
      <c r="D2" t="s">
        <v>34</v>
      </c>
      <c r="E2" t="s">
        <v>37</v>
      </c>
      <c r="G2">
        <v>0.7</v>
      </c>
      <c r="H2">
        <v>20</v>
      </c>
      <c r="J2">
        <f>$G2*1077.99</f>
        <v>754.59299999999996</v>
      </c>
      <c r="K2">
        <v>1</v>
      </c>
    </row>
    <row r="3" spans="1:11" x14ac:dyDescent="0.25">
      <c r="A3" t="s">
        <v>12</v>
      </c>
      <c r="B3" t="s">
        <v>31</v>
      </c>
      <c r="C3" t="s">
        <v>32</v>
      </c>
      <c r="D3" t="s">
        <v>34</v>
      </c>
      <c r="E3" t="s">
        <v>37</v>
      </c>
      <c r="G3">
        <v>0.7</v>
      </c>
      <c r="H3">
        <v>20</v>
      </c>
      <c r="J3">
        <f>$G3*1077.99</f>
        <v>754.59299999999996</v>
      </c>
      <c r="K3">
        <v>1</v>
      </c>
    </row>
    <row r="4" spans="1:11" x14ac:dyDescent="0.25">
      <c r="A4" t="s">
        <v>13</v>
      </c>
      <c r="B4" t="s">
        <v>31</v>
      </c>
      <c r="C4" t="s">
        <v>32</v>
      </c>
      <c r="D4" t="s">
        <v>34</v>
      </c>
      <c r="E4" t="s">
        <v>37</v>
      </c>
      <c r="G4">
        <v>0.8</v>
      </c>
      <c r="H4">
        <v>20</v>
      </c>
      <c r="J4">
        <f>$G4*1077.99</f>
        <v>862.39200000000005</v>
      </c>
      <c r="K4">
        <v>1</v>
      </c>
    </row>
    <row r="5" spans="1:11" x14ac:dyDescent="0.25">
      <c r="A5" t="s">
        <v>14</v>
      </c>
      <c r="B5" t="s">
        <v>31</v>
      </c>
      <c r="C5" t="s">
        <v>33</v>
      </c>
      <c r="D5" t="s">
        <v>34</v>
      </c>
      <c r="E5" t="s">
        <v>37</v>
      </c>
      <c r="G5">
        <v>1.1000000000000001</v>
      </c>
      <c r="H5">
        <v>20</v>
      </c>
      <c r="J5">
        <f>$G5*1077.99</f>
        <v>1185.7890000000002</v>
      </c>
      <c r="K5">
        <v>1</v>
      </c>
    </row>
    <row r="6" spans="1:11" x14ac:dyDescent="0.25">
      <c r="A6" t="s">
        <v>15</v>
      </c>
      <c r="B6" t="s">
        <v>31</v>
      </c>
      <c r="C6" t="s">
        <v>35</v>
      </c>
      <c r="D6" t="s">
        <v>34</v>
      </c>
      <c r="E6" t="s">
        <v>37</v>
      </c>
      <c r="G6">
        <v>0.9</v>
      </c>
      <c r="H6">
        <v>20</v>
      </c>
      <c r="J6">
        <f t="shared" ref="J6:J10" si="0">$G6*1077.99</f>
        <v>970.19100000000003</v>
      </c>
      <c r="K6">
        <v>1</v>
      </c>
    </row>
    <row r="7" spans="1:11" x14ac:dyDescent="0.25">
      <c r="A7" t="s">
        <v>16</v>
      </c>
      <c r="B7" t="s">
        <v>31</v>
      </c>
      <c r="C7" t="s">
        <v>33</v>
      </c>
      <c r="D7" t="s">
        <v>34</v>
      </c>
      <c r="E7" t="s">
        <v>37</v>
      </c>
      <c r="G7">
        <v>1.1000000000000001</v>
      </c>
      <c r="H7">
        <v>20</v>
      </c>
      <c r="J7">
        <f t="shared" si="0"/>
        <v>1185.7890000000002</v>
      </c>
      <c r="K7">
        <v>1</v>
      </c>
    </row>
    <row r="8" spans="1:11" x14ac:dyDescent="0.25">
      <c r="A8" t="s">
        <v>17</v>
      </c>
      <c r="B8" t="s">
        <v>31</v>
      </c>
      <c r="C8" t="s">
        <v>33</v>
      </c>
      <c r="D8" t="s">
        <v>34</v>
      </c>
      <c r="E8" t="s">
        <v>37</v>
      </c>
      <c r="G8">
        <v>1.2</v>
      </c>
      <c r="H8">
        <v>20</v>
      </c>
      <c r="J8">
        <f t="shared" si="0"/>
        <v>1293.588</v>
      </c>
      <c r="K8">
        <v>1</v>
      </c>
    </row>
    <row r="9" spans="1:11" x14ac:dyDescent="0.25">
      <c r="A9" t="s">
        <v>18</v>
      </c>
      <c r="B9" t="s">
        <v>31</v>
      </c>
      <c r="C9" t="s">
        <v>32</v>
      </c>
      <c r="D9" t="s">
        <v>34</v>
      </c>
      <c r="E9" t="s">
        <v>37</v>
      </c>
      <c r="G9">
        <v>0.8</v>
      </c>
      <c r="H9">
        <v>20</v>
      </c>
      <c r="J9">
        <f t="shared" si="0"/>
        <v>862.39200000000005</v>
      </c>
      <c r="K9">
        <v>1</v>
      </c>
    </row>
    <row r="10" spans="1:11" x14ac:dyDescent="0.25">
      <c r="A10" t="s">
        <v>19</v>
      </c>
      <c r="B10" t="s">
        <v>31</v>
      </c>
      <c r="C10" t="s">
        <v>35</v>
      </c>
      <c r="D10" t="s">
        <v>34</v>
      </c>
      <c r="E10" t="s">
        <v>37</v>
      </c>
      <c r="G10">
        <v>0.9</v>
      </c>
      <c r="H10">
        <v>20</v>
      </c>
      <c r="J10">
        <f t="shared" si="0"/>
        <v>970.19100000000003</v>
      </c>
      <c r="K10">
        <v>1</v>
      </c>
    </row>
    <row r="11" spans="1:11" x14ac:dyDescent="0.25">
      <c r="A11" t="s">
        <v>20</v>
      </c>
      <c r="B11" t="s">
        <v>31</v>
      </c>
      <c r="C11" t="s">
        <v>32</v>
      </c>
      <c r="D11" t="s">
        <v>34</v>
      </c>
      <c r="E11" t="s">
        <v>36</v>
      </c>
      <c r="G11">
        <v>1.3</v>
      </c>
      <c r="H11">
        <v>20</v>
      </c>
      <c r="J11">
        <f>$G11*1055.47</f>
        <v>1372.1110000000001</v>
      </c>
      <c r="K11">
        <v>1</v>
      </c>
    </row>
    <row r="12" spans="1:11" x14ac:dyDescent="0.25">
      <c r="A12" t="s">
        <v>21</v>
      </c>
      <c r="B12" t="s">
        <v>31</v>
      </c>
      <c r="C12" t="s">
        <v>32</v>
      </c>
      <c r="D12" t="s">
        <v>34</v>
      </c>
      <c r="E12" t="s">
        <v>36</v>
      </c>
      <c r="G12">
        <v>1</v>
      </c>
      <c r="H12">
        <v>20</v>
      </c>
      <c r="J12">
        <f t="shared" ref="J12:J20" si="1">$G12*1055.47</f>
        <v>1055.47</v>
      </c>
      <c r="K12">
        <v>1</v>
      </c>
    </row>
    <row r="13" spans="1:11" x14ac:dyDescent="0.25">
      <c r="A13" t="s">
        <v>22</v>
      </c>
      <c r="B13" t="s">
        <v>31</v>
      </c>
      <c r="C13" t="s">
        <v>32</v>
      </c>
      <c r="D13" t="s">
        <v>34</v>
      </c>
      <c r="E13" t="s">
        <v>36</v>
      </c>
      <c r="G13">
        <v>1</v>
      </c>
      <c r="H13">
        <v>20</v>
      </c>
      <c r="J13">
        <f t="shared" si="1"/>
        <v>1055.47</v>
      </c>
      <c r="K13">
        <v>1</v>
      </c>
    </row>
    <row r="14" spans="1:11" x14ac:dyDescent="0.25">
      <c r="A14" t="s">
        <v>23</v>
      </c>
      <c r="B14" t="s">
        <v>31</v>
      </c>
      <c r="C14" t="s">
        <v>32</v>
      </c>
      <c r="D14" t="s">
        <v>34</v>
      </c>
      <c r="E14" t="s">
        <v>36</v>
      </c>
      <c r="G14">
        <v>1.1000000000000001</v>
      </c>
      <c r="H14">
        <v>20</v>
      </c>
      <c r="J14">
        <f t="shared" si="1"/>
        <v>1161.0170000000001</v>
      </c>
      <c r="K14">
        <v>1</v>
      </c>
    </row>
    <row r="15" spans="1:11" x14ac:dyDescent="0.25">
      <c r="A15" t="s">
        <v>24</v>
      </c>
      <c r="B15" t="s">
        <v>31</v>
      </c>
      <c r="C15" t="s">
        <v>32</v>
      </c>
      <c r="D15" t="s">
        <v>34</v>
      </c>
      <c r="E15" t="s">
        <v>36</v>
      </c>
      <c r="G15">
        <v>1.1000000000000001</v>
      </c>
      <c r="H15">
        <v>20</v>
      </c>
      <c r="J15">
        <f t="shared" si="1"/>
        <v>1161.0170000000001</v>
      </c>
      <c r="K15">
        <v>1</v>
      </c>
    </row>
    <row r="16" spans="1:11" x14ac:dyDescent="0.25">
      <c r="A16" t="s">
        <v>25</v>
      </c>
      <c r="B16" t="s">
        <v>31</v>
      </c>
      <c r="C16" t="s">
        <v>98</v>
      </c>
      <c r="D16" t="s">
        <v>34</v>
      </c>
      <c r="E16" t="s">
        <v>36</v>
      </c>
      <c r="G16">
        <v>1.5</v>
      </c>
      <c r="H16">
        <v>20</v>
      </c>
      <c r="J16">
        <f t="shared" si="1"/>
        <v>1583.2049999999999</v>
      </c>
      <c r="K16">
        <v>1</v>
      </c>
    </row>
    <row r="17" spans="1:11" x14ac:dyDescent="0.25">
      <c r="A17" t="s">
        <v>26</v>
      </c>
      <c r="B17" t="s">
        <v>31</v>
      </c>
      <c r="C17" t="s">
        <v>98</v>
      </c>
      <c r="D17" t="s">
        <v>34</v>
      </c>
      <c r="E17" t="s">
        <v>36</v>
      </c>
      <c r="G17">
        <v>1.2</v>
      </c>
      <c r="H17">
        <v>20</v>
      </c>
      <c r="J17">
        <f t="shared" si="1"/>
        <v>1266.5640000000001</v>
      </c>
      <c r="K17">
        <v>1</v>
      </c>
    </row>
    <row r="18" spans="1:11" x14ac:dyDescent="0.25">
      <c r="A18" t="s">
        <v>27</v>
      </c>
      <c r="B18" t="s">
        <v>31</v>
      </c>
      <c r="C18" t="s">
        <v>98</v>
      </c>
      <c r="D18" t="s">
        <v>34</v>
      </c>
      <c r="E18" t="s">
        <v>36</v>
      </c>
      <c r="G18">
        <v>1.2</v>
      </c>
      <c r="H18">
        <v>20</v>
      </c>
      <c r="J18">
        <f t="shared" si="1"/>
        <v>1266.5640000000001</v>
      </c>
      <c r="K18">
        <v>1</v>
      </c>
    </row>
    <row r="19" spans="1:11" x14ac:dyDescent="0.25">
      <c r="A19" t="s">
        <v>28</v>
      </c>
      <c r="B19" t="s">
        <v>31</v>
      </c>
      <c r="C19" t="s">
        <v>99</v>
      </c>
      <c r="D19" t="s">
        <v>34</v>
      </c>
      <c r="E19" t="s">
        <v>36</v>
      </c>
      <c r="G19">
        <v>1.4</v>
      </c>
      <c r="H19">
        <v>20</v>
      </c>
      <c r="J19">
        <f t="shared" si="1"/>
        <v>1477.6579999999999</v>
      </c>
      <c r="K19">
        <v>1</v>
      </c>
    </row>
    <row r="20" spans="1:11" x14ac:dyDescent="0.25">
      <c r="A20" t="s">
        <v>29</v>
      </c>
      <c r="B20" t="s">
        <v>31</v>
      </c>
      <c r="C20" t="s">
        <v>99</v>
      </c>
      <c r="D20" t="s">
        <v>34</v>
      </c>
      <c r="E20" t="s">
        <v>36</v>
      </c>
      <c r="G20">
        <v>1.2</v>
      </c>
      <c r="H20">
        <v>20</v>
      </c>
      <c r="J20">
        <f t="shared" si="1"/>
        <v>1266.5640000000001</v>
      </c>
      <c r="K20">
        <v>1</v>
      </c>
    </row>
    <row r="21" spans="1:11" x14ac:dyDescent="0.25">
      <c r="A21" t="s">
        <v>38</v>
      </c>
      <c r="B21" t="s">
        <v>100</v>
      </c>
      <c r="C21" t="s">
        <v>101</v>
      </c>
      <c r="D21" t="s">
        <v>34</v>
      </c>
      <c r="E21" t="s">
        <v>102</v>
      </c>
      <c r="G21">
        <v>1</v>
      </c>
      <c r="H21">
        <v>20</v>
      </c>
      <c r="J21">
        <f>$G21*1138.02</f>
        <v>1138.02</v>
      </c>
    </row>
    <row r="22" spans="1:11" x14ac:dyDescent="0.25">
      <c r="A22" t="s">
        <v>39</v>
      </c>
      <c r="B22" t="s">
        <v>100</v>
      </c>
      <c r="C22" t="s">
        <v>101</v>
      </c>
      <c r="D22" t="s">
        <v>34</v>
      </c>
      <c r="E22" t="s">
        <v>102</v>
      </c>
      <c r="G22">
        <v>1.6</v>
      </c>
      <c r="H22">
        <v>20</v>
      </c>
      <c r="J22">
        <f>$G22*1138.02</f>
        <v>1820.8320000000001</v>
      </c>
    </row>
    <row r="23" spans="1:11" x14ac:dyDescent="0.25">
      <c r="A23" t="s">
        <v>40</v>
      </c>
      <c r="B23" t="s">
        <v>31</v>
      </c>
      <c r="C23" t="s">
        <v>103</v>
      </c>
      <c r="D23" t="s">
        <v>104</v>
      </c>
      <c r="E23" t="s">
        <v>105</v>
      </c>
      <c r="G23">
        <v>1.6</v>
      </c>
      <c r="H23">
        <v>20</v>
      </c>
      <c r="J23">
        <f>$G23*1060</f>
        <v>1696</v>
      </c>
    </row>
    <row r="24" spans="1:11" x14ac:dyDescent="0.25">
      <c r="A24" t="s">
        <v>41</v>
      </c>
      <c r="B24" t="s">
        <v>31</v>
      </c>
      <c r="C24" t="s">
        <v>103</v>
      </c>
      <c r="D24" t="s">
        <v>104</v>
      </c>
      <c r="E24" t="s">
        <v>105</v>
      </c>
      <c r="G24">
        <v>1.4</v>
      </c>
      <c r="H24">
        <v>20</v>
      </c>
      <c r="J24">
        <f t="shared" ref="J24:J26" si="2">$G24*1060</f>
        <v>1484</v>
      </c>
    </row>
    <row r="25" spans="1:11" x14ac:dyDescent="0.25">
      <c r="A25" t="s">
        <v>42</v>
      </c>
      <c r="B25" t="s">
        <v>31</v>
      </c>
      <c r="C25" t="s">
        <v>103</v>
      </c>
      <c r="D25" t="s">
        <v>104</v>
      </c>
      <c r="E25" t="s">
        <v>105</v>
      </c>
      <c r="G25">
        <v>1.3</v>
      </c>
      <c r="H25">
        <v>20</v>
      </c>
      <c r="J25">
        <f t="shared" si="2"/>
        <v>1378</v>
      </c>
    </row>
    <row r="26" spans="1:11" x14ac:dyDescent="0.25">
      <c r="A26" t="s">
        <v>43</v>
      </c>
      <c r="B26" t="s">
        <v>31</v>
      </c>
      <c r="C26" t="s">
        <v>103</v>
      </c>
      <c r="D26" t="s">
        <v>104</v>
      </c>
      <c r="E26" t="s">
        <v>105</v>
      </c>
      <c r="G26">
        <v>1.5</v>
      </c>
      <c r="H26">
        <v>20</v>
      </c>
      <c r="J26">
        <f t="shared" si="2"/>
        <v>1590</v>
      </c>
    </row>
    <row r="27" spans="1:11" x14ac:dyDescent="0.25">
      <c r="A27" t="s">
        <v>44</v>
      </c>
      <c r="B27" t="s">
        <v>106</v>
      </c>
      <c r="C27" t="s">
        <v>108</v>
      </c>
      <c r="D27" t="s">
        <v>34</v>
      </c>
      <c r="E27" t="s">
        <v>107</v>
      </c>
      <c r="G27">
        <v>0.3</v>
      </c>
      <c r="H27">
        <v>20</v>
      </c>
      <c r="J27">
        <f>$G27*1118</f>
        <v>335.4</v>
      </c>
    </row>
    <row r="28" spans="1:11" x14ac:dyDescent="0.25">
      <c r="A28" t="s">
        <v>45</v>
      </c>
      <c r="B28" t="s">
        <v>106</v>
      </c>
      <c r="C28" t="s">
        <v>108</v>
      </c>
      <c r="D28" t="s">
        <v>34</v>
      </c>
      <c r="E28" t="s">
        <v>107</v>
      </c>
      <c r="G28">
        <v>0.4</v>
      </c>
      <c r="H28">
        <v>20</v>
      </c>
      <c r="J28">
        <f t="shared" ref="J28:J29" si="3">$G28*1118</f>
        <v>447.20000000000005</v>
      </c>
    </row>
    <row r="29" spans="1:11" x14ac:dyDescent="0.25">
      <c r="A29" t="s">
        <v>46</v>
      </c>
      <c r="B29" t="s">
        <v>106</v>
      </c>
      <c r="C29" t="s">
        <v>108</v>
      </c>
      <c r="D29" t="s">
        <v>34</v>
      </c>
      <c r="E29" t="s">
        <v>107</v>
      </c>
      <c r="G29">
        <v>0.3</v>
      </c>
      <c r="H29">
        <v>20</v>
      </c>
      <c r="J29">
        <f t="shared" si="3"/>
        <v>335.4</v>
      </c>
    </row>
    <row r="30" spans="1:11" x14ac:dyDescent="0.25">
      <c r="A30" t="s">
        <v>47</v>
      </c>
      <c r="B30" t="s">
        <v>106</v>
      </c>
      <c r="C30" t="s">
        <v>108</v>
      </c>
      <c r="D30" t="s">
        <v>104</v>
      </c>
      <c r="E30" t="s">
        <v>109</v>
      </c>
      <c r="G30">
        <v>0.7</v>
      </c>
      <c r="H30">
        <v>20</v>
      </c>
      <c r="J30">
        <f>$G30*1068.01</f>
        <v>747.60699999999997</v>
      </c>
    </row>
    <row r="31" spans="1:11" x14ac:dyDescent="0.25">
      <c r="A31" t="s">
        <v>48</v>
      </c>
      <c r="B31" t="s">
        <v>106</v>
      </c>
      <c r="C31" t="s">
        <v>108</v>
      </c>
      <c r="D31" t="s">
        <v>104</v>
      </c>
      <c r="E31" t="s">
        <v>109</v>
      </c>
      <c r="G31">
        <v>1.1000000000000001</v>
      </c>
      <c r="H31">
        <v>20</v>
      </c>
      <c r="J31">
        <f t="shared" ref="J31:J33" si="4">$G31*1068.01</f>
        <v>1174.8110000000001</v>
      </c>
    </row>
    <row r="32" spans="1:11" x14ac:dyDescent="0.25">
      <c r="A32" t="s">
        <v>49</v>
      </c>
      <c r="B32" t="s">
        <v>106</v>
      </c>
      <c r="C32" t="s">
        <v>108</v>
      </c>
      <c r="D32" t="s">
        <v>104</v>
      </c>
      <c r="E32" t="s">
        <v>109</v>
      </c>
      <c r="G32">
        <v>1</v>
      </c>
      <c r="H32">
        <v>20</v>
      </c>
      <c r="J32">
        <f t="shared" si="4"/>
        <v>1068.01</v>
      </c>
    </row>
    <row r="33" spans="1:10" x14ac:dyDescent="0.25">
      <c r="A33" t="s">
        <v>50</v>
      </c>
      <c r="B33" t="s">
        <v>106</v>
      </c>
      <c r="C33" t="s">
        <v>108</v>
      </c>
      <c r="D33" t="s">
        <v>104</v>
      </c>
      <c r="E33" t="s">
        <v>109</v>
      </c>
      <c r="G33">
        <v>0.4</v>
      </c>
      <c r="H33">
        <v>20</v>
      </c>
      <c r="J33">
        <f t="shared" si="4"/>
        <v>427.20400000000001</v>
      </c>
    </row>
    <row r="34" spans="1:10" x14ac:dyDescent="0.25">
      <c r="A34" t="s">
        <v>51</v>
      </c>
      <c r="B34" t="s">
        <v>106</v>
      </c>
      <c r="C34" t="s">
        <v>108</v>
      </c>
      <c r="D34" t="s">
        <v>34</v>
      </c>
      <c r="E34" t="s">
        <v>110</v>
      </c>
      <c r="G34">
        <v>0.9</v>
      </c>
      <c r="H34">
        <v>20</v>
      </c>
      <c r="J34">
        <f>$G34*1051.01</f>
        <v>945.90899999999999</v>
      </c>
    </row>
    <row r="35" spans="1:10" x14ac:dyDescent="0.25">
      <c r="A35" t="s">
        <v>52</v>
      </c>
      <c r="B35" t="s">
        <v>106</v>
      </c>
      <c r="C35" t="s">
        <v>108</v>
      </c>
      <c r="D35" t="s">
        <v>34</v>
      </c>
      <c r="E35" t="s">
        <v>110</v>
      </c>
      <c r="G35">
        <v>0.7</v>
      </c>
      <c r="H35">
        <v>20</v>
      </c>
      <c r="J35">
        <f t="shared" ref="J35:J47" si="5">$G35*1051.01</f>
        <v>735.70699999999999</v>
      </c>
    </row>
    <row r="36" spans="1:10" x14ac:dyDescent="0.25">
      <c r="A36" t="s">
        <v>53</v>
      </c>
      <c r="B36" t="s">
        <v>106</v>
      </c>
      <c r="C36" t="s">
        <v>108</v>
      </c>
      <c r="D36" t="s">
        <v>34</v>
      </c>
      <c r="E36" t="s">
        <v>110</v>
      </c>
      <c r="G36">
        <v>0.7</v>
      </c>
      <c r="H36">
        <v>20</v>
      </c>
      <c r="J36">
        <f t="shared" si="5"/>
        <v>735.70699999999999</v>
      </c>
    </row>
    <row r="37" spans="1:10" x14ac:dyDescent="0.25">
      <c r="A37" t="s">
        <v>54</v>
      </c>
      <c r="B37" t="s">
        <v>106</v>
      </c>
      <c r="C37" t="s">
        <v>108</v>
      </c>
      <c r="D37" t="s">
        <v>34</v>
      </c>
      <c r="E37" t="s">
        <v>110</v>
      </c>
      <c r="G37">
        <v>0.6</v>
      </c>
      <c r="H37">
        <v>20</v>
      </c>
      <c r="J37">
        <f t="shared" si="5"/>
        <v>630.60599999999999</v>
      </c>
    </row>
    <row r="38" spans="1:10" x14ac:dyDescent="0.25">
      <c r="A38" t="s">
        <v>55</v>
      </c>
      <c r="B38" t="s">
        <v>106</v>
      </c>
      <c r="C38" t="s">
        <v>108</v>
      </c>
      <c r="D38" t="s">
        <v>34</v>
      </c>
      <c r="E38" t="s">
        <v>110</v>
      </c>
      <c r="G38">
        <v>0.4</v>
      </c>
      <c r="H38">
        <v>20</v>
      </c>
      <c r="J38">
        <f>$G39*1051.01</f>
        <v>840.80799999999999</v>
      </c>
    </row>
    <row r="39" spans="1:10" x14ac:dyDescent="0.25">
      <c r="A39" t="s">
        <v>56</v>
      </c>
      <c r="B39" t="s">
        <v>106</v>
      </c>
      <c r="C39" t="s">
        <v>108</v>
      </c>
      <c r="D39" t="s">
        <v>34</v>
      </c>
      <c r="E39" t="s">
        <v>110</v>
      </c>
      <c r="G39">
        <v>0.8</v>
      </c>
      <c r="H39">
        <v>20</v>
      </c>
      <c r="J39">
        <f>Tabla1[[#This Row],[peso_gramos]]*1051.01</f>
        <v>840.80799999999999</v>
      </c>
    </row>
    <row r="40" spans="1:10" x14ac:dyDescent="0.25">
      <c r="A40" t="s">
        <v>57</v>
      </c>
      <c r="B40" t="s">
        <v>106</v>
      </c>
      <c r="C40" t="s">
        <v>108</v>
      </c>
      <c r="D40" t="s">
        <v>34</v>
      </c>
      <c r="E40" t="s">
        <v>110</v>
      </c>
      <c r="G40">
        <v>0.4</v>
      </c>
      <c r="H40">
        <v>20</v>
      </c>
      <c r="J40">
        <f t="shared" si="5"/>
        <v>420.404</v>
      </c>
    </row>
    <row r="41" spans="1:10" x14ac:dyDescent="0.25">
      <c r="A41" t="s">
        <v>58</v>
      </c>
      <c r="B41" t="s">
        <v>106</v>
      </c>
      <c r="C41" t="s">
        <v>108</v>
      </c>
      <c r="D41" t="s">
        <v>34</v>
      </c>
      <c r="E41" t="s">
        <v>110</v>
      </c>
      <c r="G41">
        <v>0.5</v>
      </c>
      <c r="H41">
        <v>20</v>
      </c>
      <c r="J41">
        <f t="shared" si="5"/>
        <v>525.505</v>
      </c>
    </row>
    <row r="42" spans="1:10" x14ac:dyDescent="0.25">
      <c r="A42" t="s">
        <v>59</v>
      </c>
      <c r="B42" t="s">
        <v>112</v>
      </c>
      <c r="C42" t="s">
        <v>111</v>
      </c>
      <c r="D42" t="s">
        <v>34</v>
      </c>
      <c r="E42" t="s">
        <v>110</v>
      </c>
      <c r="G42">
        <v>0.4</v>
      </c>
      <c r="H42">
        <v>20</v>
      </c>
      <c r="J42">
        <f t="shared" si="5"/>
        <v>420.404</v>
      </c>
    </row>
    <row r="43" spans="1:10" x14ac:dyDescent="0.25">
      <c r="A43" t="s">
        <v>60</v>
      </c>
      <c r="B43" t="s">
        <v>112</v>
      </c>
      <c r="C43" t="s">
        <v>111</v>
      </c>
      <c r="D43" t="s">
        <v>34</v>
      </c>
      <c r="E43" t="s">
        <v>110</v>
      </c>
      <c r="G43">
        <v>0.4</v>
      </c>
      <c r="H43">
        <v>20</v>
      </c>
      <c r="J43">
        <f t="shared" si="5"/>
        <v>420.404</v>
      </c>
    </row>
    <row r="44" spans="1:10" x14ac:dyDescent="0.25">
      <c r="A44" t="s">
        <v>61</v>
      </c>
      <c r="B44" t="s">
        <v>112</v>
      </c>
      <c r="C44" t="s">
        <v>111</v>
      </c>
      <c r="D44" t="s">
        <v>34</v>
      </c>
      <c r="E44" t="s">
        <v>110</v>
      </c>
      <c r="G44">
        <v>0.6</v>
      </c>
      <c r="H44">
        <v>20</v>
      </c>
      <c r="J44">
        <f t="shared" si="5"/>
        <v>630.60599999999999</v>
      </c>
    </row>
    <row r="45" spans="1:10" x14ac:dyDescent="0.25">
      <c r="A45" t="s">
        <v>62</v>
      </c>
      <c r="B45" t="s">
        <v>112</v>
      </c>
      <c r="C45" t="s">
        <v>111</v>
      </c>
      <c r="D45" t="s">
        <v>34</v>
      </c>
      <c r="E45" t="s">
        <v>110</v>
      </c>
      <c r="G45">
        <v>0.4</v>
      </c>
      <c r="J45">
        <f t="shared" si="5"/>
        <v>420.404</v>
      </c>
    </row>
    <row r="46" spans="1:10" x14ac:dyDescent="0.25">
      <c r="A46" t="s">
        <v>63</v>
      </c>
      <c r="B46" t="s">
        <v>112</v>
      </c>
      <c r="C46" t="s">
        <v>111</v>
      </c>
      <c r="D46" t="s">
        <v>34</v>
      </c>
      <c r="E46" t="s">
        <v>110</v>
      </c>
      <c r="G46">
        <v>0.4</v>
      </c>
      <c r="J46">
        <f t="shared" si="5"/>
        <v>420.404</v>
      </c>
    </row>
    <row r="47" spans="1:10" x14ac:dyDescent="0.25">
      <c r="A47" t="s">
        <v>64</v>
      </c>
      <c r="B47" t="s">
        <v>31</v>
      </c>
      <c r="C47" t="s">
        <v>113</v>
      </c>
      <c r="D47" t="s">
        <v>34</v>
      </c>
      <c r="E47" t="s">
        <v>114</v>
      </c>
      <c r="G47">
        <v>0.8</v>
      </c>
      <c r="J47">
        <f>$G47*1197.99</f>
        <v>958.39200000000005</v>
      </c>
    </row>
    <row r="48" spans="1:10" x14ac:dyDescent="0.25">
      <c r="A48" t="s">
        <v>65</v>
      </c>
      <c r="B48" t="s">
        <v>31</v>
      </c>
      <c r="C48" t="s">
        <v>113</v>
      </c>
      <c r="D48" t="s">
        <v>34</v>
      </c>
      <c r="E48" t="s">
        <v>114</v>
      </c>
      <c r="G48">
        <v>0.9</v>
      </c>
      <c r="J48">
        <f t="shared" ref="J48:J51" si="6">$G48*1197.99</f>
        <v>1078.191</v>
      </c>
    </row>
    <row r="49" spans="1:10" x14ac:dyDescent="0.25">
      <c r="A49" t="s">
        <v>66</v>
      </c>
      <c r="B49" t="s">
        <v>31</v>
      </c>
      <c r="C49" t="s">
        <v>113</v>
      </c>
      <c r="D49" t="s">
        <v>34</v>
      </c>
      <c r="E49" t="s">
        <v>114</v>
      </c>
      <c r="G49">
        <v>0.9</v>
      </c>
      <c r="J49">
        <f t="shared" si="6"/>
        <v>1078.191</v>
      </c>
    </row>
    <row r="50" spans="1:10" x14ac:dyDescent="0.25">
      <c r="A50" t="s">
        <v>67</v>
      </c>
      <c r="B50" t="s">
        <v>31</v>
      </c>
      <c r="C50" t="s">
        <v>113</v>
      </c>
      <c r="D50" t="s">
        <v>34</v>
      </c>
      <c r="E50" t="s">
        <v>114</v>
      </c>
      <c r="G50">
        <v>0.8</v>
      </c>
      <c r="J50">
        <f t="shared" si="6"/>
        <v>958.39200000000005</v>
      </c>
    </row>
    <row r="51" spans="1:10" x14ac:dyDescent="0.25">
      <c r="A51" t="s">
        <v>68</v>
      </c>
      <c r="B51" t="s">
        <v>115</v>
      </c>
      <c r="C51" t="s">
        <v>33</v>
      </c>
      <c r="D51" t="s">
        <v>104</v>
      </c>
      <c r="E51" t="s">
        <v>37</v>
      </c>
      <c r="G51">
        <v>2.5</v>
      </c>
      <c r="J51">
        <f>$G51*1077.99</f>
        <v>2694.9749999999999</v>
      </c>
    </row>
    <row r="52" spans="1:10" x14ac:dyDescent="0.25">
      <c r="A52" t="s">
        <v>69</v>
      </c>
      <c r="B52" t="s">
        <v>112</v>
      </c>
      <c r="C52" t="s">
        <v>111</v>
      </c>
      <c r="D52" t="s">
        <v>34</v>
      </c>
      <c r="E52" t="s">
        <v>37</v>
      </c>
      <c r="G52">
        <v>0.9</v>
      </c>
      <c r="J52">
        <f>$G52*1077.99</f>
        <v>970.19100000000003</v>
      </c>
    </row>
    <row r="53" spans="1:10" x14ac:dyDescent="0.25">
      <c r="A53" t="s">
        <v>70</v>
      </c>
      <c r="B53" t="s">
        <v>112</v>
      </c>
      <c r="C53" t="s">
        <v>111</v>
      </c>
      <c r="D53" t="s">
        <v>34</v>
      </c>
      <c r="E53" t="s">
        <v>37</v>
      </c>
      <c r="G53">
        <v>1.4</v>
      </c>
      <c r="J53">
        <f t="shared" ref="J53:J75" si="7">$G53*1077.99</f>
        <v>1509.1859999999999</v>
      </c>
    </row>
    <row r="54" spans="1:10" x14ac:dyDescent="0.25">
      <c r="A54" t="s">
        <v>71</v>
      </c>
      <c r="B54" t="s">
        <v>112</v>
      </c>
      <c r="C54" t="s">
        <v>116</v>
      </c>
      <c r="D54" t="s">
        <v>34</v>
      </c>
      <c r="E54" t="s">
        <v>37</v>
      </c>
      <c r="G54">
        <v>0.6</v>
      </c>
      <c r="J54">
        <f t="shared" si="7"/>
        <v>646.79399999999998</v>
      </c>
    </row>
    <row r="55" spans="1:10" x14ac:dyDescent="0.25">
      <c r="A55" t="s">
        <v>72</v>
      </c>
      <c r="B55" t="s">
        <v>112</v>
      </c>
      <c r="C55" t="s">
        <v>116</v>
      </c>
      <c r="D55" t="s">
        <v>34</v>
      </c>
      <c r="E55" t="s">
        <v>37</v>
      </c>
      <c r="G55">
        <v>0.7</v>
      </c>
      <c r="J55">
        <f t="shared" si="7"/>
        <v>754.59299999999996</v>
      </c>
    </row>
    <row r="56" spans="1:10" x14ac:dyDescent="0.25">
      <c r="A56" t="s">
        <v>73</v>
      </c>
      <c r="B56" t="s">
        <v>106</v>
      </c>
      <c r="C56" t="s">
        <v>108</v>
      </c>
      <c r="D56" t="s">
        <v>104</v>
      </c>
      <c r="E56" t="s">
        <v>37</v>
      </c>
      <c r="G56">
        <v>0.8</v>
      </c>
      <c r="J56">
        <f t="shared" si="7"/>
        <v>862.39200000000005</v>
      </c>
    </row>
    <row r="57" spans="1:10" x14ac:dyDescent="0.25">
      <c r="A57" t="s">
        <v>74</v>
      </c>
      <c r="B57" t="s">
        <v>106</v>
      </c>
      <c r="C57" t="s">
        <v>118</v>
      </c>
      <c r="D57" t="s">
        <v>104</v>
      </c>
      <c r="E57" t="s">
        <v>37</v>
      </c>
      <c r="G57">
        <v>1</v>
      </c>
      <c r="J57">
        <f t="shared" si="7"/>
        <v>1077.99</v>
      </c>
    </row>
    <row r="58" spans="1:10" x14ac:dyDescent="0.25">
      <c r="A58" t="s">
        <v>75</v>
      </c>
      <c r="B58" t="s">
        <v>106</v>
      </c>
      <c r="C58" t="s">
        <v>117</v>
      </c>
      <c r="D58" t="s">
        <v>104</v>
      </c>
      <c r="E58" t="s">
        <v>37</v>
      </c>
      <c r="G58">
        <v>1.1000000000000001</v>
      </c>
      <c r="J58">
        <f t="shared" si="7"/>
        <v>1185.7890000000002</v>
      </c>
    </row>
    <row r="59" spans="1:10" x14ac:dyDescent="0.25">
      <c r="A59" t="s">
        <v>76</v>
      </c>
      <c r="B59" t="s">
        <v>106</v>
      </c>
      <c r="C59" t="s">
        <v>120</v>
      </c>
      <c r="D59" t="s">
        <v>34</v>
      </c>
      <c r="E59" t="s">
        <v>37</v>
      </c>
      <c r="G59">
        <v>0.8</v>
      </c>
      <c r="J59">
        <f t="shared" si="7"/>
        <v>862.39200000000005</v>
      </c>
    </row>
    <row r="60" spans="1:10" x14ac:dyDescent="0.25">
      <c r="A60" t="s">
        <v>77</v>
      </c>
      <c r="B60" t="s">
        <v>106</v>
      </c>
      <c r="C60" t="s">
        <v>119</v>
      </c>
      <c r="D60" t="s">
        <v>34</v>
      </c>
      <c r="E60" t="s">
        <v>37</v>
      </c>
      <c r="G60">
        <v>0.7</v>
      </c>
      <c r="J60">
        <f t="shared" si="7"/>
        <v>754.59299999999996</v>
      </c>
    </row>
    <row r="61" spans="1:10" x14ac:dyDescent="0.25">
      <c r="A61" t="s">
        <v>78</v>
      </c>
      <c r="B61" t="s">
        <v>100</v>
      </c>
      <c r="C61" t="s">
        <v>121</v>
      </c>
      <c r="D61" t="s">
        <v>34</v>
      </c>
      <c r="E61" t="s">
        <v>37</v>
      </c>
      <c r="G61">
        <v>1.9</v>
      </c>
      <c r="J61">
        <f t="shared" si="7"/>
        <v>2048.181</v>
      </c>
    </row>
    <row r="62" spans="1:10" x14ac:dyDescent="0.25">
      <c r="A62" t="s">
        <v>79</v>
      </c>
      <c r="B62" t="s">
        <v>100</v>
      </c>
      <c r="C62" t="s">
        <v>122</v>
      </c>
      <c r="D62" t="s">
        <v>34</v>
      </c>
      <c r="E62" t="s">
        <v>37</v>
      </c>
      <c r="G62">
        <v>1.4</v>
      </c>
      <c r="J62">
        <f t="shared" si="7"/>
        <v>1509.1859999999999</v>
      </c>
    </row>
    <row r="63" spans="1:10" x14ac:dyDescent="0.25">
      <c r="A63" t="s">
        <v>80</v>
      </c>
      <c r="B63" t="s">
        <v>100</v>
      </c>
      <c r="C63" t="s">
        <v>123</v>
      </c>
      <c r="D63" t="s">
        <v>34</v>
      </c>
      <c r="E63" t="s">
        <v>37</v>
      </c>
      <c r="G63">
        <v>1.1000000000000001</v>
      </c>
      <c r="J63">
        <f t="shared" si="7"/>
        <v>1185.7890000000002</v>
      </c>
    </row>
    <row r="64" spans="1:10" x14ac:dyDescent="0.25">
      <c r="A64" t="s">
        <v>81</v>
      </c>
      <c r="B64" t="s">
        <v>124</v>
      </c>
      <c r="C64" t="s">
        <v>125</v>
      </c>
      <c r="D64" t="s">
        <v>34</v>
      </c>
      <c r="E64" t="s">
        <v>37</v>
      </c>
      <c r="G64">
        <v>1.8</v>
      </c>
      <c r="J64">
        <f t="shared" si="7"/>
        <v>1940.3820000000001</v>
      </c>
    </row>
    <row r="65" spans="1:10" x14ac:dyDescent="0.25">
      <c r="A65" t="s">
        <v>82</v>
      </c>
      <c r="B65" t="s">
        <v>124</v>
      </c>
      <c r="C65" t="s">
        <v>125</v>
      </c>
      <c r="D65" t="s">
        <v>34</v>
      </c>
      <c r="E65" t="s">
        <v>37</v>
      </c>
      <c r="G65">
        <v>1.7</v>
      </c>
      <c r="J65">
        <f t="shared" si="7"/>
        <v>1832.5829999999999</v>
      </c>
    </row>
    <row r="66" spans="1:10" x14ac:dyDescent="0.25">
      <c r="A66" t="s">
        <v>83</v>
      </c>
      <c r="B66" t="s">
        <v>124</v>
      </c>
      <c r="C66" t="s">
        <v>126</v>
      </c>
      <c r="D66" t="s">
        <v>34</v>
      </c>
      <c r="E66" t="s">
        <v>37</v>
      </c>
      <c r="G66">
        <v>1.3</v>
      </c>
      <c r="J66">
        <f t="shared" si="7"/>
        <v>1401.3870000000002</v>
      </c>
    </row>
    <row r="67" spans="1:10" x14ac:dyDescent="0.25">
      <c r="A67" t="s">
        <v>84</v>
      </c>
      <c r="B67" t="s">
        <v>124</v>
      </c>
      <c r="C67" t="s">
        <v>125</v>
      </c>
      <c r="D67" t="s">
        <v>34</v>
      </c>
      <c r="E67" t="s">
        <v>37</v>
      </c>
      <c r="G67">
        <v>2.2000000000000002</v>
      </c>
      <c r="J67">
        <f t="shared" si="7"/>
        <v>2371.5780000000004</v>
      </c>
    </row>
    <row r="68" spans="1:10" x14ac:dyDescent="0.25">
      <c r="A68" t="s">
        <v>85</v>
      </c>
      <c r="B68" t="s">
        <v>124</v>
      </c>
      <c r="C68" t="s">
        <v>126</v>
      </c>
      <c r="D68" t="s">
        <v>34</v>
      </c>
      <c r="E68" t="s">
        <v>37</v>
      </c>
      <c r="G68">
        <v>1.3</v>
      </c>
      <c r="J68">
        <f t="shared" si="7"/>
        <v>1401.3870000000002</v>
      </c>
    </row>
    <row r="69" spans="1:10" x14ac:dyDescent="0.25">
      <c r="A69" t="s">
        <v>86</v>
      </c>
      <c r="B69" t="s">
        <v>124</v>
      </c>
      <c r="C69" t="s">
        <v>127</v>
      </c>
      <c r="D69" t="s">
        <v>34</v>
      </c>
      <c r="E69" t="s">
        <v>37</v>
      </c>
      <c r="G69">
        <v>1.9</v>
      </c>
      <c r="J69">
        <f t="shared" si="7"/>
        <v>2048.181</v>
      </c>
    </row>
    <row r="70" spans="1:10" x14ac:dyDescent="0.25">
      <c r="A70" t="s">
        <v>87</v>
      </c>
      <c r="B70" t="s">
        <v>124</v>
      </c>
      <c r="C70" t="s">
        <v>127</v>
      </c>
      <c r="D70" t="s">
        <v>34</v>
      </c>
      <c r="E70" t="s">
        <v>37</v>
      </c>
      <c r="G70">
        <v>1.3</v>
      </c>
      <c r="J70">
        <f t="shared" si="7"/>
        <v>1401.3870000000002</v>
      </c>
    </row>
    <row r="71" spans="1:10" x14ac:dyDescent="0.25">
      <c r="A71" t="s">
        <v>88</v>
      </c>
      <c r="B71" t="s">
        <v>124</v>
      </c>
      <c r="C71" t="s">
        <v>127</v>
      </c>
      <c r="D71" t="s">
        <v>34</v>
      </c>
      <c r="E71" t="s">
        <v>37</v>
      </c>
      <c r="G71">
        <v>1.2</v>
      </c>
      <c r="J71">
        <f t="shared" si="7"/>
        <v>1293.588</v>
      </c>
    </row>
    <row r="72" spans="1:10" x14ac:dyDescent="0.25">
      <c r="A72" t="s">
        <v>89</v>
      </c>
      <c r="B72" t="s">
        <v>124</v>
      </c>
      <c r="C72" t="s">
        <v>128</v>
      </c>
      <c r="D72" t="s">
        <v>34</v>
      </c>
      <c r="E72" t="s">
        <v>37</v>
      </c>
      <c r="G72">
        <v>0.8</v>
      </c>
      <c r="J72">
        <f t="shared" si="7"/>
        <v>862.39200000000005</v>
      </c>
    </row>
    <row r="73" spans="1:10" x14ac:dyDescent="0.25">
      <c r="A73" t="s">
        <v>90</v>
      </c>
      <c r="B73" t="s">
        <v>124</v>
      </c>
      <c r="C73" t="s">
        <v>128</v>
      </c>
      <c r="D73" t="s">
        <v>34</v>
      </c>
      <c r="E73" t="s">
        <v>37</v>
      </c>
      <c r="G73">
        <v>0.5</v>
      </c>
      <c r="J73">
        <f t="shared" si="7"/>
        <v>538.995</v>
      </c>
    </row>
    <row r="74" spans="1:10" x14ac:dyDescent="0.25">
      <c r="A74" t="s">
        <v>91</v>
      </c>
      <c r="B74" t="s">
        <v>115</v>
      </c>
      <c r="C74" t="s">
        <v>129</v>
      </c>
      <c r="D74" t="s">
        <v>34</v>
      </c>
      <c r="E74" t="s">
        <v>36</v>
      </c>
      <c r="G74">
        <v>1.5</v>
      </c>
      <c r="J74">
        <f>$G74*1055.47</f>
        <v>1583.2049999999999</v>
      </c>
    </row>
    <row r="75" spans="1:10" x14ac:dyDescent="0.25">
      <c r="A75" t="s">
        <v>92</v>
      </c>
      <c r="B75" t="s">
        <v>115</v>
      </c>
      <c r="C75" t="s">
        <v>129</v>
      </c>
      <c r="D75" t="s">
        <v>34</v>
      </c>
      <c r="E75" t="s">
        <v>36</v>
      </c>
      <c r="G75">
        <v>1.5</v>
      </c>
      <c r="J75">
        <f>$G75*1055.47</f>
        <v>1583.2049999999999</v>
      </c>
    </row>
    <row r="76" spans="1:10" x14ac:dyDescent="0.25">
      <c r="A76" t="s">
        <v>93</v>
      </c>
      <c r="B76" t="s">
        <v>115</v>
      </c>
      <c r="C76" t="s">
        <v>33</v>
      </c>
      <c r="D76" t="s">
        <v>104</v>
      </c>
      <c r="E76" t="s">
        <v>109</v>
      </c>
      <c r="G76">
        <v>1.4</v>
      </c>
      <c r="J76">
        <f>$G76*1068.01</f>
        <v>1495.2139999999999</v>
      </c>
    </row>
    <row r="77" spans="1:10" x14ac:dyDescent="0.25">
      <c r="A77" t="s">
        <v>94</v>
      </c>
      <c r="B77" t="s">
        <v>130</v>
      </c>
      <c r="C77" t="s">
        <v>131</v>
      </c>
      <c r="D77" t="s">
        <v>34</v>
      </c>
      <c r="E77" t="s">
        <v>109</v>
      </c>
      <c r="G77">
        <v>2.5</v>
      </c>
      <c r="J77">
        <f t="shared" ref="J77:J78" si="8">$G77*1068.01</f>
        <v>2670.0250000000001</v>
      </c>
    </row>
    <row r="78" spans="1:10" x14ac:dyDescent="0.25">
      <c r="A78" t="s">
        <v>95</v>
      </c>
      <c r="B78" t="s">
        <v>130</v>
      </c>
      <c r="C78" t="s">
        <v>131</v>
      </c>
      <c r="D78" t="s">
        <v>34</v>
      </c>
      <c r="E78" t="s">
        <v>109</v>
      </c>
      <c r="G78">
        <v>2</v>
      </c>
      <c r="J78">
        <f t="shared" si="8"/>
        <v>2136.02</v>
      </c>
    </row>
    <row r="79" spans="1:10" x14ac:dyDescent="0.25">
      <c r="A79" t="s">
        <v>96</v>
      </c>
      <c r="B79" t="s">
        <v>100</v>
      </c>
      <c r="C79" t="s">
        <v>121</v>
      </c>
      <c r="D79" t="s">
        <v>34</v>
      </c>
      <c r="E79" t="s">
        <v>140</v>
      </c>
      <c r="G79">
        <v>1.5</v>
      </c>
      <c r="J79">
        <f t="shared" ref="J77:J84" si="9">$G79*1097.98</f>
        <v>1646.97</v>
      </c>
    </row>
    <row r="80" spans="1:10" x14ac:dyDescent="0.25">
      <c r="A80" t="s">
        <v>97</v>
      </c>
      <c r="B80" t="s">
        <v>100</v>
      </c>
      <c r="C80" t="s">
        <v>121</v>
      </c>
      <c r="D80" t="s">
        <v>34</v>
      </c>
      <c r="E80" t="s">
        <v>140</v>
      </c>
      <c r="G80">
        <v>0.6</v>
      </c>
      <c r="J80">
        <f t="shared" si="9"/>
        <v>658.78800000000001</v>
      </c>
    </row>
    <row r="81" spans="1:10" x14ac:dyDescent="0.25">
      <c r="A81" t="s">
        <v>132</v>
      </c>
      <c r="B81" t="s">
        <v>100</v>
      </c>
      <c r="C81" t="s">
        <v>121</v>
      </c>
      <c r="D81" t="s">
        <v>34</v>
      </c>
      <c r="E81" t="s">
        <v>140</v>
      </c>
      <c r="G81">
        <v>1</v>
      </c>
      <c r="J81">
        <f t="shared" si="9"/>
        <v>1097.98</v>
      </c>
    </row>
    <row r="82" spans="1:10" x14ac:dyDescent="0.25">
      <c r="A82" t="s">
        <v>133</v>
      </c>
      <c r="B82" t="s">
        <v>100</v>
      </c>
      <c r="C82" t="s">
        <v>121</v>
      </c>
      <c r="D82" t="s">
        <v>34</v>
      </c>
      <c r="E82" t="s">
        <v>140</v>
      </c>
      <c r="G82">
        <v>0.5</v>
      </c>
      <c r="J82">
        <f t="shared" si="9"/>
        <v>548.99</v>
      </c>
    </row>
    <row r="83" spans="1:10" x14ac:dyDescent="0.25">
      <c r="A83" t="s">
        <v>134</v>
      </c>
      <c r="B83" t="s">
        <v>100</v>
      </c>
      <c r="C83" t="s">
        <v>121</v>
      </c>
      <c r="D83" t="s">
        <v>34</v>
      </c>
      <c r="E83" t="s">
        <v>140</v>
      </c>
      <c r="G83">
        <v>0.8</v>
      </c>
      <c r="J83">
        <f t="shared" si="9"/>
        <v>878.38400000000001</v>
      </c>
    </row>
    <row r="84" spans="1:10" x14ac:dyDescent="0.25">
      <c r="A84" t="s">
        <v>135</v>
      </c>
      <c r="B84" t="s">
        <v>141</v>
      </c>
      <c r="C84" t="s">
        <v>123</v>
      </c>
      <c r="D84" t="s">
        <v>142</v>
      </c>
      <c r="E84" t="s">
        <v>144</v>
      </c>
      <c r="G84">
        <v>2.1</v>
      </c>
      <c r="J84">
        <f>$G84*1127.99</f>
        <v>2368.779</v>
      </c>
    </row>
    <row r="85" spans="1:10" x14ac:dyDescent="0.25">
      <c r="A85" t="s">
        <v>136</v>
      </c>
      <c r="B85" t="s">
        <v>141</v>
      </c>
      <c r="C85" t="s">
        <v>123</v>
      </c>
      <c r="D85" t="s">
        <v>34</v>
      </c>
      <c r="E85" t="s">
        <v>144</v>
      </c>
      <c r="G85">
        <v>1.7</v>
      </c>
      <c r="J85">
        <f t="shared" ref="J85:J87" si="10">$G85*1127.99</f>
        <v>1917.5829999999999</v>
      </c>
    </row>
    <row r="86" spans="1:10" x14ac:dyDescent="0.25">
      <c r="A86" t="s">
        <v>137</v>
      </c>
      <c r="B86" t="s">
        <v>141</v>
      </c>
      <c r="C86" t="s">
        <v>123</v>
      </c>
      <c r="D86" t="s">
        <v>143</v>
      </c>
      <c r="E86" t="s">
        <v>144</v>
      </c>
      <c r="G86">
        <v>1.2</v>
      </c>
      <c r="J86">
        <f t="shared" si="10"/>
        <v>1353.588</v>
      </c>
    </row>
    <row r="87" spans="1:10" x14ac:dyDescent="0.25">
      <c r="A87" t="s">
        <v>138</v>
      </c>
      <c r="B87" t="s">
        <v>145</v>
      </c>
      <c r="C87" t="s">
        <v>146</v>
      </c>
      <c r="D87" t="s">
        <v>34</v>
      </c>
      <c r="E87" t="s">
        <v>114</v>
      </c>
      <c r="G87">
        <v>1.2</v>
      </c>
      <c r="J87">
        <f>$G87*1197.99</f>
        <v>1437.588</v>
      </c>
    </row>
    <row r="88" spans="1:10" x14ac:dyDescent="0.25">
      <c r="A88" t="s">
        <v>139</v>
      </c>
      <c r="B88" t="s">
        <v>145</v>
      </c>
      <c r="C88" t="s">
        <v>146</v>
      </c>
      <c r="D88" t="s">
        <v>34</v>
      </c>
      <c r="E88" t="s">
        <v>114</v>
      </c>
      <c r="G88">
        <v>2.1</v>
      </c>
      <c r="J88">
        <f>$G88*1197.99</f>
        <v>2515.779</v>
      </c>
    </row>
    <row r="89" spans="1:10" x14ac:dyDescent="0.25">
      <c r="A89" t="s">
        <v>147</v>
      </c>
      <c r="B89" t="s">
        <v>154</v>
      </c>
      <c r="C89" t="s">
        <v>155</v>
      </c>
      <c r="D89" t="s">
        <v>34</v>
      </c>
      <c r="E89" t="s">
        <v>156</v>
      </c>
      <c r="G89">
        <v>0.9</v>
      </c>
      <c r="J89">
        <f>$G89*1218.02</f>
        <v>1096.2180000000001</v>
      </c>
    </row>
    <row r="90" spans="1:10" x14ac:dyDescent="0.25">
      <c r="A90" t="s">
        <v>148</v>
      </c>
      <c r="B90" t="s">
        <v>154</v>
      </c>
      <c r="C90" t="s">
        <v>157</v>
      </c>
      <c r="D90" t="s">
        <v>34</v>
      </c>
      <c r="E90" t="s">
        <v>156</v>
      </c>
      <c r="G90">
        <v>1.8</v>
      </c>
      <c r="J90">
        <f>$G90*1218.02</f>
        <v>2192.4360000000001</v>
      </c>
    </row>
    <row r="91" spans="1:10" x14ac:dyDescent="0.25">
      <c r="A91" t="s">
        <v>149</v>
      </c>
      <c r="B91" t="s">
        <v>154</v>
      </c>
      <c r="C91" t="s">
        <v>158</v>
      </c>
      <c r="D91" t="s">
        <v>34</v>
      </c>
      <c r="E91" t="s">
        <v>159</v>
      </c>
      <c r="G91">
        <v>1.4</v>
      </c>
      <c r="J91">
        <f>$G91*1258</f>
        <v>1761.1999999999998</v>
      </c>
    </row>
    <row r="92" spans="1:10" x14ac:dyDescent="0.25">
      <c r="A92" t="s">
        <v>150</v>
      </c>
      <c r="B92" t="s">
        <v>106</v>
      </c>
      <c r="C92" t="s">
        <v>160</v>
      </c>
      <c r="D92" t="s">
        <v>34</v>
      </c>
      <c r="E92" t="s">
        <v>30</v>
      </c>
      <c r="G92">
        <v>1.5</v>
      </c>
      <c r="J92">
        <f>$G92*1055.47</f>
        <v>1583.2049999999999</v>
      </c>
    </row>
    <row r="93" spans="1:10" x14ac:dyDescent="0.25">
      <c r="A93" t="s">
        <v>151</v>
      </c>
    </row>
    <row r="94" spans="1:10" x14ac:dyDescent="0.25">
      <c r="A94" t="s">
        <v>152</v>
      </c>
    </row>
    <row r="95" spans="1:10" x14ac:dyDescent="0.25">
      <c r="A95" t="s">
        <v>153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D83F96-FC3D-47B6-9AE7-D58313B023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2025-11-21T17:14:58Z</dcterms:created>
  <dcterms:modified xsi:type="dcterms:W3CDTF">2025-11-22T01:20:12Z</dcterms:modified>
</cp:coreProperties>
</file>